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A351444-2751-4D8C-8E2A-D8260AD11A8E}" xr6:coauthVersionLast="47" xr6:coauthVersionMax="47" xr10:uidLastSave="{00000000-0000-0000-0000-000000000000}"/>
  <bookViews>
    <workbookView xWindow="-120" yWindow="-120" windowWidth="19440" windowHeight="11310" activeTab="1" xr2:uid="{5CC6D3C7-16B7-4269-BB8E-0A395DFFACCA}"/>
  </bookViews>
  <sheets>
    <sheet name="Sheet1" sheetId="1" r:id="rId1"/>
    <sheet name="Sheet2" sheetId="2" r:id="rId2"/>
  </sheets>
  <definedNames>
    <definedName name="_xlnm._FilterDatabase" localSheetId="0" hidden="1">Sheet1!$A$3:$G$18</definedName>
    <definedName name="Slicer_Category">#N/A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3" i="1" l="1"/>
  <c r="I13" i="1"/>
  <c r="M8" i="1"/>
  <c r="K8" i="1"/>
  <c r="I8" i="1"/>
  <c r="E19" i="1"/>
  <c r="F19" i="1"/>
  <c r="G19" i="1"/>
  <c r="G18" i="1"/>
  <c r="G4" i="1"/>
  <c r="G5" i="1"/>
  <c r="G6" i="1"/>
  <c r="G7" i="1"/>
  <c r="G8" i="1"/>
  <c r="G9" i="1"/>
  <c r="G10" i="1"/>
  <c r="G11" i="1"/>
  <c r="G12" i="1"/>
  <c r="G13" i="1"/>
  <c r="G14" i="1"/>
  <c r="G15" i="1"/>
  <c r="G16" i="1"/>
  <c r="G17" i="1"/>
</calcChain>
</file>

<file path=xl/sharedStrings.xml><?xml version="1.0" encoding="utf-8"?>
<sst xmlns="http://schemas.openxmlformats.org/spreadsheetml/2006/main" count="94" uniqueCount="39">
  <si>
    <t>Order ID</t>
  </si>
  <si>
    <t xml:space="preserve">Product </t>
  </si>
  <si>
    <t>Category</t>
  </si>
  <si>
    <t>Region</t>
  </si>
  <si>
    <t>Sales</t>
  </si>
  <si>
    <t>Cost</t>
  </si>
  <si>
    <t>Laptop</t>
  </si>
  <si>
    <t>Smartphone</t>
  </si>
  <si>
    <t>Monitor</t>
  </si>
  <si>
    <t>Chair</t>
  </si>
  <si>
    <t>Desk</t>
  </si>
  <si>
    <t>Router</t>
  </si>
  <si>
    <t>Notebook</t>
  </si>
  <si>
    <t>Tablet</t>
  </si>
  <si>
    <t>File</t>
  </si>
  <si>
    <t>Sofa</t>
  </si>
  <si>
    <t>Television</t>
  </si>
  <si>
    <t>Lamp</t>
  </si>
  <si>
    <t>Whiteboard</t>
  </si>
  <si>
    <t>Headphones</t>
  </si>
  <si>
    <t xml:space="preserve">Printer </t>
  </si>
  <si>
    <t>Electronics</t>
  </si>
  <si>
    <t>Office</t>
  </si>
  <si>
    <t>Furniture</t>
  </si>
  <si>
    <t>North</t>
  </si>
  <si>
    <t>South</t>
  </si>
  <si>
    <t>West</t>
  </si>
  <si>
    <t>East</t>
  </si>
  <si>
    <t>Cabnit Office</t>
  </si>
  <si>
    <t>profit</t>
  </si>
  <si>
    <t>Row Labels</t>
  </si>
  <si>
    <t>Grand Total</t>
  </si>
  <si>
    <t>Sum of Sales</t>
  </si>
  <si>
    <t>Sum of profit</t>
  </si>
  <si>
    <t>AVERAGE</t>
  </si>
  <si>
    <t>MEDIAN</t>
  </si>
  <si>
    <t>MODE</t>
  </si>
  <si>
    <t xml:space="preserve"> MAX</t>
  </si>
  <si>
    <t xml:space="preserve">MINIMUM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</si>
</sst>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font>
      <sz val="11"/>
      <color theme="1"/>
      <name val="Calibri"/>
      <family val="2"/>
      <scheme val="minor"/>
    </font>
    <font>
      <sz val="10"/>
      <color rgb="FF000000"/>
      <name val="Arial Unicode MS"/>
    </font>
    <font>
      <b/>
      <sz val="10"/>
      <color rgb="FF000000"/>
      <name val="Arial Unicode MS"/>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left"/>
    </xf>
    <xf numFmtId="0" fontId="0" fillId="0" borderId="1" xfId="0" applyBorder="1" applyAlignment="1">
      <alignment horizont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0" xfId="0" applyFont="1" applyAlignment="1">
      <alignment horizontal="center" vertical="center"/>
    </xf>
    <xf numFmtId="0" fontId="0" fillId="0" borderId="0" xfId="0" pivotButton="1"/>
    <xf numFmtId="164" fontId="0" fillId="0" borderId="0" xfId="0" applyNumberFormat="1"/>
    <xf numFmtId="0" fontId="0" fillId="0" borderId="0" xfId="0" applyAlignment="1">
      <alignment horizontal="center"/>
    </xf>
    <xf numFmtId="0" fontId="3" fillId="0" borderId="0" xfId="0" applyFont="1" applyAlignment="1">
      <alignment horizontal="center"/>
    </xf>
  </cellXfs>
  <cellStyles count="1">
    <cellStyle name="Normal" xfId="0" builtinId="0"/>
  </cellStyles>
  <dxfs count="4">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[Sales.csv.xlsx]Sheet2!PivotTable1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East</c:v>
                </c:pt>
                <c:pt idx="1">
                  <c:v>North</c:v>
                </c:pt>
                <c:pt idx="2">
                  <c:v>South</c:v>
                </c:pt>
                <c:pt idx="3">
                  <c:v>West</c:v>
                </c:pt>
              </c:strCache>
            </c:strRef>
          </c:cat>
          <c:val>
            <c:numRef>
              <c:f>Sheet2!$B$2:$B$6</c:f>
              <c:numCache>
                <c:formatCode>"₹"\ #,##0.00</c:formatCode>
                <c:ptCount val="4"/>
                <c:pt idx="0">
                  <c:v>75000</c:v>
                </c:pt>
                <c:pt idx="1">
                  <c:v>88000</c:v>
                </c:pt>
                <c:pt idx="2">
                  <c:v>59000</c:v>
                </c:pt>
                <c:pt idx="3">
                  <c:v>72000</c:v>
                </c:pt>
              </c:numCache>
            </c:numRef>
          </c:val>
          <c:extLst>
            <c:ext xmlns:c16="http://schemas.microsoft.com/office/drawing/2014/chart" uri="{C3380CC4-5D6E-409C-BE32-E72D297353CC}">
              <c16:uniqueId val="{00000000-CC0F-4671-82DF-E1B7F5CC507A}"/>
            </c:ext>
          </c:extLst>
        </c:ser>
        <c:dLbls>
          <c:showLegendKey val="0"/>
          <c:showVal val="0"/>
          <c:showCatName val="0"/>
          <c:showSerName val="0"/>
          <c:showPercent val="0"/>
          <c:showBubbleSize val="0"/>
        </c:dLbls>
        <c:gapWidth val="219"/>
        <c:overlap val="-27"/>
        <c:axId val="2062911951"/>
        <c:axId val="2062923471"/>
      </c:barChart>
      <c:catAx>
        <c:axId val="206291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923471"/>
        <c:crosses val="autoZero"/>
        <c:auto val="1"/>
        <c:lblAlgn val="ctr"/>
        <c:lblOffset val="100"/>
        <c:noMultiLvlLbl val="0"/>
      </c:catAx>
      <c:valAx>
        <c:axId val="2062923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91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[Sales.csv.xlsx]Sheet2!PivotTable4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6585856234929"/>
          <c:y val="0.1993307495814661"/>
          <c:w val="0.6261339064186866"/>
          <c:h val="0.65316684581720508"/>
        </c:manualLayout>
      </c:layout>
      <c:lineChart>
        <c:grouping val="stacked"/>
        <c:varyColors val="0"/>
        <c:ser>
          <c:idx val="0"/>
          <c:order val="0"/>
          <c:tx>
            <c:strRef>
              <c:f>Sheet2!$B$16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Sheet2!$A$17:$A$32</c:f>
              <c:strCache>
                <c:ptCount val="15"/>
                <c:pt idx="0">
                  <c:v>Chair</c:v>
                </c:pt>
                <c:pt idx="1">
                  <c:v>Desk</c:v>
                </c:pt>
                <c:pt idx="2">
                  <c:v>File</c:v>
                </c:pt>
                <c:pt idx="3">
                  <c:v>Headphones</c:v>
                </c:pt>
                <c:pt idx="4">
                  <c:v>Lamp</c:v>
                </c:pt>
                <c:pt idx="5">
                  <c:v>Laptop</c:v>
                </c:pt>
                <c:pt idx="6">
                  <c:v>Monitor</c:v>
                </c:pt>
                <c:pt idx="7">
                  <c:v>Notebook</c:v>
                </c:pt>
                <c:pt idx="8">
                  <c:v>Printer </c:v>
                </c:pt>
                <c:pt idx="9">
                  <c:v>Router</c:v>
                </c:pt>
                <c:pt idx="10">
                  <c:v>Smartphone</c:v>
                </c:pt>
                <c:pt idx="11">
                  <c:v>Sofa</c:v>
                </c:pt>
                <c:pt idx="12">
                  <c:v>Tablet</c:v>
                </c:pt>
                <c:pt idx="13">
                  <c:v>Television</c:v>
                </c:pt>
                <c:pt idx="14">
                  <c:v>Whiteboard</c:v>
                </c:pt>
              </c:strCache>
            </c:strRef>
          </c:cat>
          <c:val>
            <c:numRef>
              <c:f>Sheet2!$B$17:$B$32</c:f>
              <c:numCache>
                <c:formatCode>General</c:formatCode>
                <c:ptCount val="15"/>
                <c:pt idx="0">
                  <c:v>0</c:v>
                </c:pt>
                <c:pt idx="1">
                  <c:v>-1000</c:v>
                </c:pt>
                <c:pt idx="2">
                  <c:v>-9000</c:v>
                </c:pt>
                <c:pt idx="3">
                  <c:v>10000</c:v>
                </c:pt>
                <c:pt idx="4">
                  <c:v>1000</c:v>
                </c:pt>
                <c:pt idx="5">
                  <c:v>15000</c:v>
                </c:pt>
                <c:pt idx="6">
                  <c:v>15000</c:v>
                </c:pt>
                <c:pt idx="7">
                  <c:v>-10000</c:v>
                </c:pt>
                <c:pt idx="8">
                  <c:v>-3000</c:v>
                </c:pt>
                <c:pt idx="9">
                  <c:v>14000</c:v>
                </c:pt>
                <c:pt idx="10">
                  <c:v>10000</c:v>
                </c:pt>
                <c:pt idx="11">
                  <c:v>0</c:v>
                </c:pt>
                <c:pt idx="12">
                  <c:v>17500</c:v>
                </c:pt>
                <c:pt idx="13">
                  <c:v>42500</c:v>
                </c:pt>
                <c:pt idx="14">
                  <c:v>-4000</c:v>
                </c:pt>
              </c:numCache>
            </c:numRef>
          </c:val>
          <c:smooth val="0"/>
          <c:extLst>
            <c:ext xmlns:c16="http://schemas.microsoft.com/office/drawing/2014/chart" uri="{C3380CC4-5D6E-409C-BE32-E72D297353CC}">
              <c16:uniqueId val="{00000000-8E81-4E7B-B2B6-CEBF093CB31A}"/>
            </c:ext>
          </c:extLst>
        </c:ser>
        <c:dLbls>
          <c:showLegendKey val="0"/>
          <c:showVal val="0"/>
          <c:showCatName val="0"/>
          <c:showSerName val="0"/>
          <c:showPercent val="0"/>
          <c:showBubbleSize val="0"/>
        </c:dLbls>
        <c:marker val="1"/>
        <c:smooth val="0"/>
        <c:axId val="1938842895"/>
        <c:axId val="1714308351"/>
      </c:lineChart>
      <c:catAx>
        <c:axId val="193884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08351"/>
        <c:crosses val="autoZero"/>
        <c:auto val="1"/>
        <c:lblAlgn val="ctr"/>
        <c:lblOffset val="100"/>
        <c:noMultiLvlLbl val="0"/>
      </c:catAx>
      <c:valAx>
        <c:axId val="171430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84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[Sales.csv.xlsx]Sheet2!PivotTable8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62-4627-B76B-1B4F7DAA05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62-4627-B76B-1B4F7DAA05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B62-4627-B76B-1B4F7DAA058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B62-4627-B76B-1B4F7DAA0584}"/>
              </c:ext>
            </c:extLst>
          </c:dPt>
          <c:cat>
            <c:strRef>
              <c:f>Sheet2!$A$36:$A$40</c:f>
              <c:strCache>
                <c:ptCount val="4"/>
                <c:pt idx="0">
                  <c:v>Cabnit Office</c:v>
                </c:pt>
                <c:pt idx="1">
                  <c:v>Electronics</c:v>
                </c:pt>
                <c:pt idx="2">
                  <c:v>Furniture</c:v>
                </c:pt>
                <c:pt idx="3">
                  <c:v>Office</c:v>
                </c:pt>
              </c:strCache>
            </c:strRef>
          </c:cat>
          <c:val>
            <c:numRef>
              <c:f>Sheet2!$B$36:$B$40</c:f>
              <c:numCache>
                <c:formatCode>General</c:formatCode>
                <c:ptCount val="4"/>
                <c:pt idx="0">
                  <c:v>11000</c:v>
                </c:pt>
                <c:pt idx="1">
                  <c:v>203000</c:v>
                </c:pt>
                <c:pt idx="2">
                  <c:v>55000</c:v>
                </c:pt>
                <c:pt idx="3">
                  <c:v>25000</c:v>
                </c:pt>
              </c:numCache>
            </c:numRef>
          </c:val>
          <c:extLst>
            <c:ext xmlns:c16="http://schemas.microsoft.com/office/drawing/2014/chart" uri="{C3380CC4-5D6E-409C-BE32-E72D297353CC}">
              <c16:uniqueId val="{00000008-8B62-4627-B76B-1B4F7DAA05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[Sales.csv.xlsx]Sheet2!PivotTable8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8.8817954641897304E-2"/>
          <c:y val="0.24661036322072644"/>
          <c:w val="0.5594030835965863"/>
          <c:h val="0.75338963677927351"/>
        </c:manualLayout>
      </c:layout>
      <c:doughnutChart>
        <c:varyColors val="1"/>
        <c:ser>
          <c:idx val="0"/>
          <c:order val="0"/>
          <c:tx>
            <c:strRef>
              <c:f>Sheet2!$B$35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BA-42C8-BC2E-101A8CE8A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BA-42C8-BC2E-101A8CE8A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BA-42C8-BC2E-101A8CE8A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BA-42C8-BC2E-101A8CE8A121}"/>
              </c:ext>
            </c:extLst>
          </c:dPt>
          <c:cat>
            <c:strRef>
              <c:f>Sheet2!$A$36:$A$40</c:f>
              <c:strCache>
                <c:ptCount val="4"/>
                <c:pt idx="0">
                  <c:v>Cabnit Office</c:v>
                </c:pt>
                <c:pt idx="1">
                  <c:v>Electronics</c:v>
                </c:pt>
                <c:pt idx="2">
                  <c:v>Furniture</c:v>
                </c:pt>
                <c:pt idx="3">
                  <c:v>Office</c:v>
                </c:pt>
              </c:strCache>
            </c:strRef>
          </c:cat>
          <c:val>
            <c:numRef>
              <c:f>Sheet2!$B$36:$B$40</c:f>
              <c:numCache>
                <c:formatCode>General</c:formatCode>
                <c:ptCount val="4"/>
                <c:pt idx="0">
                  <c:v>11000</c:v>
                </c:pt>
                <c:pt idx="1">
                  <c:v>203000</c:v>
                </c:pt>
                <c:pt idx="2">
                  <c:v>55000</c:v>
                </c:pt>
                <c:pt idx="3">
                  <c:v>25000</c:v>
                </c:pt>
              </c:numCache>
            </c:numRef>
          </c:val>
          <c:extLst>
            <c:ext xmlns:c16="http://schemas.microsoft.com/office/drawing/2014/chart" uri="{C3380CC4-5D6E-409C-BE32-E72D297353CC}">
              <c16:uniqueId val="{00000008-DBBA-42C8-BC2E-101A8CE8A1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[Sales.csv.xlsx]Sheet2!PivotTable4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9643098736371"/>
          <c:y val="0.25966823364820102"/>
          <c:w val="0.72888762616013203"/>
          <c:h val="0.62697859421832725"/>
        </c:manualLayout>
      </c:layout>
      <c:barChart>
        <c:barDir val="bar"/>
        <c:grouping val="clustered"/>
        <c:varyColors val="0"/>
        <c:ser>
          <c:idx val="0"/>
          <c:order val="0"/>
          <c:tx>
            <c:strRef>
              <c:f>Sheet2!$B$16</c:f>
              <c:strCache>
                <c:ptCount val="1"/>
                <c:pt idx="0">
                  <c:v>Total</c:v>
                </c:pt>
              </c:strCache>
            </c:strRef>
          </c:tx>
          <c:spPr>
            <a:solidFill>
              <a:schemeClr val="accent1"/>
            </a:solidFill>
            <a:ln>
              <a:noFill/>
            </a:ln>
            <a:effectLst/>
          </c:spPr>
          <c:invertIfNegative val="0"/>
          <c:cat>
            <c:strRef>
              <c:f>Sheet2!$A$17:$A$32</c:f>
              <c:strCache>
                <c:ptCount val="15"/>
                <c:pt idx="0">
                  <c:v>Chair</c:v>
                </c:pt>
                <c:pt idx="1">
                  <c:v>Desk</c:v>
                </c:pt>
                <c:pt idx="2">
                  <c:v>File</c:v>
                </c:pt>
                <c:pt idx="3">
                  <c:v>Headphones</c:v>
                </c:pt>
                <c:pt idx="4">
                  <c:v>Lamp</c:v>
                </c:pt>
                <c:pt idx="5">
                  <c:v>Laptop</c:v>
                </c:pt>
                <c:pt idx="6">
                  <c:v>Monitor</c:v>
                </c:pt>
                <c:pt idx="7">
                  <c:v>Notebook</c:v>
                </c:pt>
                <c:pt idx="8">
                  <c:v>Printer </c:v>
                </c:pt>
                <c:pt idx="9">
                  <c:v>Router</c:v>
                </c:pt>
                <c:pt idx="10">
                  <c:v>Smartphone</c:v>
                </c:pt>
                <c:pt idx="11">
                  <c:v>Sofa</c:v>
                </c:pt>
                <c:pt idx="12">
                  <c:v>Tablet</c:v>
                </c:pt>
                <c:pt idx="13">
                  <c:v>Television</c:v>
                </c:pt>
                <c:pt idx="14">
                  <c:v>Whiteboard</c:v>
                </c:pt>
              </c:strCache>
            </c:strRef>
          </c:cat>
          <c:val>
            <c:numRef>
              <c:f>Sheet2!$B$17:$B$32</c:f>
              <c:numCache>
                <c:formatCode>General</c:formatCode>
                <c:ptCount val="15"/>
                <c:pt idx="0">
                  <c:v>0</c:v>
                </c:pt>
                <c:pt idx="1">
                  <c:v>-1000</c:v>
                </c:pt>
                <c:pt idx="2">
                  <c:v>-9000</c:v>
                </c:pt>
                <c:pt idx="3">
                  <c:v>10000</c:v>
                </c:pt>
                <c:pt idx="4">
                  <c:v>1000</c:v>
                </c:pt>
                <c:pt idx="5">
                  <c:v>15000</c:v>
                </c:pt>
                <c:pt idx="6">
                  <c:v>15000</c:v>
                </c:pt>
                <c:pt idx="7">
                  <c:v>-10000</c:v>
                </c:pt>
                <c:pt idx="8">
                  <c:v>-3000</c:v>
                </c:pt>
                <c:pt idx="9">
                  <c:v>14000</c:v>
                </c:pt>
                <c:pt idx="10">
                  <c:v>10000</c:v>
                </c:pt>
                <c:pt idx="11">
                  <c:v>0</c:v>
                </c:pt>
                <c:pt idx="12">
                  <c:v>17500</c:v>
                </c:pt>
                <c:pt idx="13">
                  <c:v>42500</c:v>
                </c:pt>
                <c:pt idx="14">
                  <c:v>-4000</c:v>
                </c:pt>
              </c:numCache>
            </c:numRef>
          </c:val>
          <c:extLst>
            <c:ext xmlns:c16="http://schemas.microsoft.com/office/drawing/2014/chart" uri="{C3380CC4-5D6E-409C-BE32-E72D297353CC}">
              <c16:uniqueId val="{00000000-CE98-42C8-B087-22F71AB363C5}"/>
            </c:ext>
          </c:extLst>
        </c:ser>
        <c:dLbls>
          <c:showLegendKey val="0"/>
          <c:showVal val="0"/>
          <c:showCatName val="0"/>
          <c:showSerName val="0"/>
          <c:showPercent val="0"/>
          <c:showBubbleSize val="0"/>
        </c:dLbls>
        <c:gapWidth val="182"/>
        <c:axId val="1963428175"/>
        <c:axId val="1963432495"/>
      </c:barChart>
      <c:catAx>
        <c:axId val="196342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32495"/>
        <c:crosses val="autoZero"/>
        <c:auto val="1"/>
        <c:lblAlgn val="ctr"/>
        <c:lblOffset val="100"/>
        <c:noMultiLvlLbl val="0"/>
      </c:catAx>
      <c:valAx>
        <c:axId val="19634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2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28576</xdr:colOff>
      <xdr:row>57</xdr:row>
      <xdr:rowOff>47625</xdr:rowOff>
    </xdr:from>
    <xdr:to>
      <xdr:col>20</xdr:col>
      <xdr:colOff>447676</xdr:colOff>
      <xdr:row>85</xdr:row>
      <xdr:rowOff>28575</xdr:rowOff>
    </xdr:to>
    <xdr:sp macro="" textlink="">
      <xdr:nvSpPr>
        <xdr:cNvPr id="9" name="Rectangle 8">
          <a:extLst>
            <a:ext uri="{FF2B5EF4-FFF2-40B4-BE49-F238E27FC236}">
              <a16:creationId xmlns:a16="http://schemas.microsoft.com/office/drawing/2014/main" id="{001D1981-80D3-7B25-6AD2-3D421D08F106}"/>
            </a:ext>
          </a:extLst>
        </xdr:cNvPr>
        <xdr:cNvSpPr/>
      </xdr:nvSpPr>
      <xdr:spPr>
        <a:xfrm>
          <a:off x="904876" y="10906125"/>
          <a:ext cx="9867900" cy="5314950"/>
        </a:xfrm>
        <a:prstGeom prst="rect">
          <a:avLst/>
        </a:prstGeom>
        <a:solidFill>
          <a:schemeClr val="accent4">
            <a:lumMod val="20000"/>
            <a:lumOff val="8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2000" b="1">
              <a:solidFill>
                <a:schemeClr val="accent3">
                  <a:lumMod val="50000"/>
                </a:schemeClr>
              </a:solidFill>
              <a:latin typeface="Times New Roman" panose="02020603050405020304" pitchFamily="18" charset="0"/>
              <a:cs typeface="Times New Roman" panose="02020603050405020304" pitchFamily="18" charset="0"/>
            </a:rPr>
            <a:t>SALES DATASET</a:t>
          </a:r>
        </a:p>
        <a:p>
          <a:pPr algn="l"/>
          <a:r>
            <a:rPr lang="en-IN" sz="1200" b="1">
              <a:solidFill>
                <a:schemeClr val="accent6">
                  <a:lumMod val="50000"/>
                </a:schemeClr>
              </a:solidFill>
              <a:latin typeface="Times New Roman" panose="02020603050405020304" pitchFamily="18" charset="0"/>
              <a:cs typeface="Times New Roman" panose="02020603050405020304" pitchFamily="18" charset="0"/>
            </a:rPr>
            <a:t>                  </a:t>
          </a:r>
        </a:p>
        <a:p>
          <a:pPr algn="l"/>
          <a:r>
            <a:rPr lang="en-IN" sz="1200" b="1">
              <a:solidFill>
                <a:schemeClr val="accent6">
                  <a:lumMod val="50000"/>
                </a:schemeClr>
              </a:solidFill>
              <a:latin typeface="Times New Roman" panose="02020603050405020304" pitchFamily="18" charset="0"/>
              <a:cs typeface="Times New Roman" panose="02020603050405020304" pitchFamily="18" charset="0"/>
            </a:rPr>
            <a:t>            </a:t>
          </a:r>
        </a:p>
        <a:p>
          <a:pPr algn="l"/>
          <a:r>
            <a:rPr lang="en-IN" sz="1200" b="1">
              <a:solidFill>
                <a:schemeClr val="accent6">
                  <a:lumMod val="50000"/>
                </a:schemeClr>
              </a:solidFill>
              <a:latin typeface="Times New Roman" panose="02020603050405020304" pitchFamily="18" charset="0"/>
              <a:cs typeface="Times New Roman" panose="02020603050405020304" pitchFamily="18" charset="0"/>
            </a:rPr>
            <a:t>       </a:t>
          </a:r>
        </a:p>
        <a:p>
          <a:pPr algn="l"/>
          <a:r>
            <a:rPr lang="en-IN" sz="1200" b="1" baseline="0">
              <a:solidFill>
                <a:schemeClr val="accent6">
                  <a:lumMod val="50000"/>
                </a:schemeClr>
              </a:solidFill>
              <a:latin typeface="Times New Roman" panose="02020603050405020304" pitchFamily="18" charset="0"/>
              <a:cs typeface="Times New Roman" panose="02020603050405020304" pitchFamily="18" charset="0"/>
            </a:rPr>
            <a:t>                                                                  </a:t>
          </a:r>
          <a:r>
            <a:rPr lang="en-IN" sz="1200" b="1" baseline="0">
              <a:solidFill>
                <a:schemeClr val="accent6">
                  <a:lumMod val="50000"/>
                </a:schemeClr>
              </a:solidFill>
              <a:effectLst/>
              <a:latin typeface="Times New Roman" panose="02020603050405020304" pitchFamily="18" charset="0"/>
              <a:ea typeface="+mn-ea"/>
              <a:cs typeface="Times New Roman" panose="02020603050405020304" pitchFamily="18" charset="0"/>
            </a:rPr>
            <a:t>                                                             </a:t>
          </a:r>
          <a:endParaRPr lang="en-IN" sz="12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38101</xdr:colOff>
      <xdr:row>59</xdr:row>
      <xdr:rowOff>104776</xdr:rowOff>
    </xdr:from>
    <xdr:to>
      <xdr:col>8</xdr:col>
      <xdr:colOff>0</xdr:colOff>
      <xdr:row>72</xdr:row>
      <xdr:rowOff>85726</xdr:rowOff>
    </xdr:to>
    <xdr:graphicFrame macro="">
      <xdr:nvGraphicFramePr>
        <xdr:cNvPr id="11" name="Chart 10">
          <a:extLst>
            <a:ext uri="{FF2B5EF4-FFF2-40B4-BE49-F238E27FC236}">
              <a16:creationId xmlns:a16="http://schemas.microsoft.com/office/drawing/2014/main" id="{F13234C1-207C-4AFA-9893-26D6FBEC9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19051</xdr:colOff>
      <xdr:row>59</xdr:row>
      <xdr:rowOff>104773</xdr:rowOff>
    </xdr:from>
    <xdr:to>
      <xdr:col>15</xdr:col>
      <xdr:colOff>190499</xdr:colOff>
      <xdr:row>72</xdr:row>
      <xdr:rowOff>104775</xdr:rowOff>
    </xdr:to>
    <xdr:graphicFrame macro="">
      <xdr:nvGraphicFramePr>
        <xdr:cNvPr id="13" name="Chart 12">
          <a:extLst>
            <a:ext uri="{FF2B5EF4-FFF2-40B4-BE49-F238E27FC236}">
              <a16:creationId xmlns:a16="http://schemas.microsoft.com/office/drawing/2014/main" id="{8766E871-8E46-4004-A424-AB5E97C01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72</xdr:row>
      <xdr:rowOff>123825</xdr:rowOff>
    </xdr:from>
    <xdr:to>
      <xdr:col>15</xdr:col>
      <xdr:colOff>666750</xdr:colOff>
      <xdr:row>85</xdr:row>
      <xdr:rowOff>1</xdr:rowOff>
    </xdr:to>
    <xdr:graphicFrame macro="">
      <xdr:nvGraphicFramePr>
        <xdr:cNvPr id="14" name="Chart 13">
          <a:extLst>
            <a:ext uri="{FF2B5EF4-FFF2-40B4-BE49-F238E27FC236}">
              <a16:creationId xmlns:a16="http://schemas.microsoft.com/office/drawing/2014/main" id="{A651F153-7C49-4EB7-B4A3-6BA829512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38100</xdr:colOff>
      <xdr:row>72</xdr:row>
      <xdr:rowOff>142874</xdr:rowOff>
    </xdr:from>
    <xdr:to>
      <xdr:col>5</xdr:col>
      <xdr:colOff>123825</xdr:colOff>
      <xdr:row>85</xdr:row>
      <xdr:rowOff>0</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A0F1324B-1B1E-4D8B-AD98-7A4304DED34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4400" y="13858874"/>
              <a:ext cx="1895475" cy="233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72</xdr:row>
      <xdr:rowOff>123826</xdr:rowOff>
    </xdr:from>
    <xdr:to>
      <xdr:col>10</xdr:col>
      <xdr:colOff>0</xdr:colOff>
      <xdr:row>84</xdr:row>
      <xdr:rowOff>180976</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317AB723-223B-43D0-A0FE-30851BDDA4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857500" y="13839826"/>
              <a:ext cx="18288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581025</xdr:colOff>
      <xdr:row>72</xdr:row>
      <xdr:rowOff>133350</xdr:rowOff>
    </xdr:from>
    <xdr:to>
      <xdr:col>20</xdr:col>
      <xdr:colOff>476250</xdr:colOff>
      <xdr:row>85</xdr:row>
      <xdr:rowOff>19050</xdr:rowOff>
    </xdr:to>
    <xdr:graphicFrame macro="">
      <xdr:nvGraphicFramePr>
        <xdr:cNvPr id="21" name="Chart 20">
          <a:extLst>
            <a:ext uri="{FF2B5EF4-FFF2-40B4-BE49-F238E27FC236}">
              <a16:creationId xmlns:a16="http://schemas.microsoft.com/office/drawing/2014/main" id="{A3C7E0A8-995A-42C9-868E-5C36F3CDF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57150</xdr:colOff>
      <xdr:row>59</xdr:row>
      <xdr:rowOff>95249</xdr:rowOff>
    </xdr:from>
    <xdr:to>
      <xdr:col>20</xdr:col>
      <xdr:colOff>466725</xdr:colOff>
      <xdr:row>72</xdr:row>
      <xdr:rowOff>133350</xdr:rowOff>
    </xdr:to>
    <xdr:graphicFrame macro="">
      <xdr:nvGraphicFramePr>
        <xdr:cNvPr id="2" name="Chart 1">
          <a:extLst>
            <a:ext uri="{FF2B5EF4-FFF2-40B4-BE49-F238E27FC236}">
              <a16:creationId xmlns:a16="http://schemas.microsoft.com/office/drawing/2014/main" id="{8BFD7DCA-C1D4-A6CB-8D2C-5B2BFC471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5.597707754627" createdVersion="8" refreshedVersion="8" minRefreshableVersion="3" recordCount="15" xr:uid="{0D69880E-509C-4C35-9B9E-BB36E87E675B}">
  <cacheSource type="worksheet">
    <worksheetSource ref="A3:G18" sheet="Sheet1"/>
  </cacheSource>
  <cacheFields count="7">
    <cacheField name="Order ID" numFmtId="0">
      <sharedItems containsSemiMixedTypes="0" containsString="0" containsNumber="1" containsInteger="1" minValue="101" maxValue="115"/>
    </cacheField>
    <cacheField name="Product " numFmtId="0">
      <sharedItems count="15">
        <s v="Laptop"/>
        <s v="Smartphone"/>
        <s v="Printer "/>
        <s v="Monitor"/>
        <s v="Chair"/>
        <s v="Desk"/>
        <s v="Router"/>
        <s v="Notebook"/>
        <s v="Tablet"/>
        <s v="File"/>
        <s v="Sofa"/>
        <s v="Television"/>
        <s v="Lamp"/>
        <s v="Whiteboard"/>
        <s v="Headphones"/>
      </sharedItems>
    </cacheField>
    <cacheField name="Category" numFmtId="0">
      <sharedItems count="4">
        <s v="Electronics"/>
        <s v="Office"/>
        <s v="Furniture"/>
        <s v="Cabnit Office"/>
      </sharedItems>
    </cacheField>
    <cacheField name="Region" numFmtId="0">
      <sharedItems count="4">
        <s v="North"/>
        <s v="South"/>
        <s v="East"/>
        <s v="West"/>
      </sharedItems>
    </cacheField>
    <cacheField name="Sales" numFmtId="0">
      <sharedItems containsSemiMixedTypes="0" containsString="0" containsNumber="1" containsInteger="1" minValue="5000" maxValue="50000" count="13">
        <n v="50000"/>
        <n v="30000"/>
        <n v="12000"/>
        <n v="20000"/>
        <n v="8000"/>
        <n v="18000"/>
        <n v="7000"/>
        <n v="25000"/>
        <n v="11000"/>
        <n v="45000"/>
        <n v="5000"/>
        <n v="6000"/>
        <n v="15000"/>
      </sharedItems>
    </cacheField>
    <cacheField name="Cost" numFmtId="0">
      <sharedItems containsSemiMixedTypes="0" containsString="0" containsNumber="1" containsInteger="1" minValue="2500" maxValue="35000"/>
    </cacheField>
    <cacheField name="profit" numFmtId="0">
      <sharedItems containsSemiMixedTypes="0" containsString="0" containsNumber="1" containsInteger="1" minValue="-10000" maxValue="42500"/>
    </cacheField>
  </cacheFields>
  <extLst>
    <ext xmlns:x14="http://schemas.microsoft.com/office/spreadsheetml/2009/9/main" uri="{725AE2AE-9491-48be-B2B4-4EB974FC3084}">
      <x14:pivotCacheDefinition pivotCacheId="755447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x v="0"/>
    <x v="0"/>
    <n v="35000"/>
    <n v="15000"/>
  </r>
  <r>
    <n v="102"/>
    <x v="1"/>
    <x v="0"/>
    <x v="1"/>
    <x v="1"/>
    <n v="20000"/>
    <n v="10000"/>
  </r>
  <r>
    <n v="103"/>
    <x v="2"/>
    <x v="1"/>
    <x v="2"/>
    <x v="2"/>
    <n v="15000"/>
    <n v="-3000"/>
  </r>
  <r>
    <n v="104"/>
    <x v="3"/>
    <x v="0"/>
    <x v="3"/>
    <x v="3"/>
    <n v="5000"/>
    <n v="15000"/>
  </r>
  <r>
    <n v="105"/>
    <x v="4"/>
    <x v="2"/>
    <x v="0"/>
    <x v="4"/>
    <n v="8000"/>
    <n v="0"/>
  </r>
  <r>
    <n v="106"/>
    <x v="5"/>
    <x v="2"/>
    <x v="1"/>
    <x v="2"/>
    <n v="13000"/>
    <n v="-1000"/>
  </r>
  <r>
    <n v="107"/>
    <x v="6"/>
    <x v="0"/>
    <x v="2"/>
    <x v="5"/>
    <n v="4000"/>
    <n v="14000"/>
  </r>
  <r>
    <n v="108"/>
    <x v="7"/>
    <x v="1"/>
    <x v="3"/>
    <x v="6"/>
    <n v="17000"/>
    <n v="-10000"/>
  </r>
  <r>
    <n v="109"/>
    <x v="8"/>
    <x v="0"/>
    <x v="0"/>
    <x v="7"/>
    <n v="7500"/>
    <n v="17500"/>
  </r>
  <r>
    <n v="110"/>
    <x v="9"/>
    <x v="3"/>
    <x v="1"/>
    <x v="8"/>
    <n v="20000"/>
    <n v="-9000"/>
  </r>
  <r>
    <n v="111"/>
    <x v="10"/>
    <x v="2"/>
    <x v="2"/>
    <x v="1"/>
    <n v="30000"/>
    <n v="0"/>
  </r>
  <r>
    <n v="112"/>
    <x v="11"/>
    <x v="0"/>
    <x v="3"/>
    <x v="9"/>
    <n v="2500"/>
    <n v="42500"/>
  </r>
  <r>
    <n v="113"/>
    <x v="12"/>
    <x v="2"/>
    <x v="0"/>
    <x v="10"/>
    <n v="4000"/>
    <n v="1000"/>
  </r>
  <r>
    <n v="114"/>
    <x v="13"/>
    <x v="1"/>
    <x v="1"/>
    <x v="11"/>
    <n v="10000"/>
    <n v="-4000"/>
  </r>
  <r>
    <n v="115"/>
    <x v="14"/>
    <x v="0"/>
    <x v="2"/>
    <x v="12"/>
    <n v="500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FF8EA-2BD1-4214-9B20-081D85E0F21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1" firstHeaderRow="1" firstDataRow="1" firstDataCol="1"/>
  <pivotFields count="7">
    <pivotField showAll="0"/>
    <pivotField showAll="0"/>
    <pivotField showAll="0">
      <items count="5">
        <item h="1" x="3"/>
        <item x="0"/>
        <item x="2"/>
        <item x="1"/>
        <item t="default"/>
      </items>
    </pivotField>
    <pivotField axis="axisRow" showAll="0">
      <items count="5">
        <item x="2"/>
        <item h="1" x="0"/>
        <item h="1" x="1"/>
        <item x="3"/>
        <item t="default"/>
      </items>
    </pivotField>
    <pivotField dataField="1" showAll="0">
      <items count="14">
        <item x="10"/>
        <item x="11"/>
        <item x="6"/>
        <item x="4"/>
        <item x="8"/>
        <item x="2"/>
        <item x="12"/>
        <item x="5"/>
        <item x="3"/>
        <item x="7"/>
        <item x="1"/>
        <item x="9"/>
        <item x="0"/>
        <item t="default"/>
      </items>
    </pivotField>
    <pivotField showAll="0"/>
    <pivotField showAll="0"/>
  </pivotFields>
  <rowFields count="1">
    <field x="3"/>
  </rowFields>
  <rowItems count="3">
    <i>
      <x/>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284D2-3326-477F-B592-8208014A37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5:B40" firstHeaderRow="1" firstDataRow="1" firstDataCol="1"/>
  <pivotFields count="7">
    <pivotField showAll="0"/>
    <pivotField showAll="0"/>
    <pivotField axis="axisRow" showAll="0">
      <items count="5">
        <item x="3"/>
        <item x="0"/>
        <item x="2"/>
        <item x="1"/>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4" baseField="0" baseItem="0"/>
  </dataFields>
  <chartFormats count="1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 chart="1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FA07D1-1A63-430B-A731-7BA2B63D8E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6:B32" firstHeaderRow="1" firstDataRow="1" firstDataCol="1"/>
  <pivotFields count="7">
    <pivotField showAll="0"/>
    <pivotField axis="axisRow" showAll="0">
      <items count="16">
        <item x="4"/>
        <item x="5"/>
        <item x="9"/>
        <item x="14"/>
        <item x="12"/>
        <item x="0"/>
        <item x="3"/>
        <item x="7"/>
        <item x="2"/>
        <item x="6"/>
        <item x="1"/>
        <item x="10"/>
        <item x="8"/>
        <item x="11"/>
        <item x="13"/>
        <item t="default"/>
      </items>
    </pivotField>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profit" fld="6" baseField="0" baseItem="0"/>
  </dataFields>
  <chartFormats count="3">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8CB2F-698A-48A0-A80E-73BB544018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7">
    <pivotField showAll="0"/>
    <pivotField showAll="0"/>
    <pivotField showAll="0"/>
    <pivotField axis="axisRow" showAll="0">
      <items count="5">
        <item x="2"/>
        <item x="0"/>
        <item x="1"/>
        <item x="3"/>
        <item t="default"/>
      </items>
    </pivotField>
    <pivotField dataField="1" showAll="0"/>
    <pivotField showAll="0"/>
    <pivotField showAll="0"/>
  </pivotFields>
  <rowFields count="1">
    <field x="3"/>
  </rowFields>
  <rowItems count="5">
    <i>
      <x/>
    </i>
    <i>
      <x v="1"/>
    </i>
    <i>
      <x v="2"/>
    </i>
    <i>
      <x v="3"/>
    </i>
    <i t="grand">
      <x/>
    </i>
  </rowItems>
  <colItems count="1">
    <i/>
  </colItems>
  <dataFields count="1">
    <dataField name="Sum of Sales" fld="4" baseField="0" baseItem="0"/>
  </dataFields>
  <formats count="4">
    <format dxfId="3">
      <pivotArea collapsedLevelsAreSubtotals="1" fieldPosition="0">
        <references count="1">
          <reference field="3" count="1">
            <x v="2"/>
          </reference>
        </references>
      </pivotArea>
    </format>
    <format dxfId="2">
      <pivotArea collapsedLevelsAreSubtotals="1" fieldPosition="0">
        <references count="1">
          <reference field="3" count="1">
            <x v="0"/>
          </reference>
        </references>
      </pivotArea>
    </format>
    <format dxfId="1">
      <pivotArea collapsedLevelsAreSubtotals="1" fieldPosition="0">
        <references count="1">
          <reference field="3" count="1">
            <x v="1"/>
          </reference>
        </references>
      </pivotArea>
    </format>
    <format dxfId="0">
      <pivotArea collapsedLevelsAreSubtotals="1" fieldPosition="0">
        <references count="1">
          <reference field="3" count="1">
            <x v="3"/>
          </reference>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5AB105-67C1-4A00-8FCF-39ABADC6B95E}" sourceName="Category">
  <pivotTables>
    <pivotTable tabId="2" name="PivotTable12"/>
  </pivotTables>
  <data>
    <tabular pivotCacheId="755447845">
      <items count="4">
        <i x="0" s="1"/>
        <i x="2"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5DA156-AD5C-4FA3-BAF5-98A7CE9D9BA8}" sourceName="Region">
  <pivotTables>
    <pivotTable tabId="2" name="PivotTable12"/>
  </pivotTables>
  <data>
    <tabular pivotCacheId="755447845">
      <items count="4">
        <i x="2" s="1"/>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2865946-0BDB-41F2-84F5-4A0ABFD2FBFB}" cache="Slicer_Category" caption="Category" rowHeight="241300"/>
  <slicer name="Region 1" xr10:uid="{C8479DE2-A387-4CC3-98B4-03735C29A80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F4A5-2E91-4ADE-B250-F7A9D28A6540}">
  <dimension ref="A3:N19"/>
  <sheetViews>
    <sheetView topLeftCell="B1" workbookViewId="0">
      <selection activeCell="K14" sqref="K14"/>
    </sheetView>
  </sheetViews>
  <sheetFormatPr defaultRowHeight="15"/>
  <cols>
    <col min="1" max="1" width="14" customWidth="1"/>
    <col min="2" max="2" width="14.28515625" customWidth="1"/>
    <col min="3" max="3" width="15.140625" customWidth="1"/>
    <col min="4" max="4" width="12" customWidth="1"/>
    <col min="5" max="5" width="11.140625" customWidth="1"/>
    <col min="6" max="6" width="10.5703125" customWidth="1"/>
    <col min="7" max="7" width="17.140625" customWidth="1"/>
    <col min="8" max="8" width="14.42578125" customWidth="1"/>
    <col min="9" max="9" width="13.140625" customWidth="1"/>
    <col min="11" max="11" width="11.85546875" customWidth="1"/>
  </cols>
  <sheetData>
    <row r="3" spans="1:14">
      <c r="A3" s="3" t="s">
        <v>0</v>
      </c>
      <c r="B3" s="3" t="s">
        <v>1</v>
      </c>
      <c r="C3" s="3" t="s">
        <v>2</v>
      </c>
      <c r="D3" s="3" t="s">
        <v>3</v>
      </c>
      <c r="E3" s="3" t="s">
        <v>4</v>
      </c>
      <c r="F3" s="3" t="s">
        <v>5</v>
      </c>
      <c r="G3" s="3" t="s">
        <v>29</v>
      </c>
      <c r="H3" s="5"/>
      <c r="I3" s="5"/>
    </row>
    <row r="4" spans="1:14">
      <c r="A4" s="2">
        <v>101</v>
      </c>
      <c r="B4" s="4" t="s">
        <v>6</v>
      </c>
      <c r="C4" s="4" t="s">
        <v>21</v>
      </c>
      <c r="D4" s="4" t="s">
        <v>24</v>
      </c>
      <c r="E4" s="4">
        <v>50000</v>
      </c>
      <c r="F4" s="4">
        <v>35000</v>
      </c>
      <c r="G4" s="2">
        <f>(E4-F4)</f>
        <v>15000</v>
      </c>
    </row>
    <row r="5" spans="1:14">
      <c r="A5" s="2">
        <v>102</v>
      </c>
      <c r="B5" s="4" t="s">
        <v>7</v>
      </c>
      <c r="C5" s="4" t="s">
        <v>21</v>
      </c>
      <c r="D5" s="4" t="s">
        <v>25</v>
      </c>
      <c r="E5" s="4">
        <v>30000</v>
      </c>
      <c r="F5" s="4">
        <v>20000</v>
      </c>
      <c r="G5" s="2">
        <f t="shared" ref="G5:G17" si="0">(E5-F5)</f>
        <v>10000</v>
      </c>
    </row>
    <row r="6" spans="1:14">
      <c r="A6" s="2">
        <v>103</v>
      </c>
      <c r="B6" s="4" t="s">
        <v>20</v>
      </c>
      <c r="C6" s="4" t="s">
        <v>22</v>
      </c>
      <c r="D6" s="4" t="s">
        <v>27</v>
      </c>
      <c r="E6" s="4">
        <v>12000</v>
      </c>
      <c r="F6" s="4">
        <v>15000</v>
      </c>
      <c r="G6" s="2">
        <f t="shared" si="0"/>
        <v>-3000</v>
      </c>
      <c r="I6" s="9" t="s">
        <v>34</v>
      </c>
      <c r="J6" s="8"/>
      <c r="K6" s="9" t="s">
        <v>35</v>
      </c>
      <c r="L6" s="9"/>
      <c r="M6" s="9" t="s">
        <v>36</v>
      </c>
      <c r="N6" s="9"/>
    </row>
    <row r="7" spans="1:14">
      <c r="A7" s="2">
        <v>104</v>
      </c>
      <c r="B7" s="4" t="s">
        <v>8</v>
      </c>
      <c r="C7" s="4" t="s">
        <v>21</v>
      </c>
      <c r="D7" s="4" t="s">
        <v>26</v>
      </c>
      <c r="E7" s="4">
        <v>20000</v>
      </c>
      <c r="F7" s="4">
        <v>5000</v>
      </c>
      <c r="G7" s="2">
        <f t="shared" si="0"/>
        <v>15000</v>
      </c>
    </row>
    <row r="8" spans="1:14">
      <c r="A8" s="2">
        <v>105</v>
      </c>
      <c r="B8" s="4" t="s">
        <v>9</v>
      </c>
      <c r="C8" s="4" t="s">
        <v>23</v>
      </c>
      <c r="D8" s="4" t="s">
        <v>24</v>
      </c>
      <c r="E8" s="4">
        <v>8000</v>
      </c>
      <c r="F8" s="4">
        <v>8000</v>
      </c>
      <c r="G8" s="2">
        <f t="shared" si="0"/>
        <v>0</v>
      </c>
      <c r="I8">
        <f>AVERAGE(E4:E18)</f>
        <v>19600</v>
      </c>
      <c r="K8" s="8">
        <f>MEDIAN(F4:F18)</f>
        <v>10000</v>
      </c>
      <c r="L8" s="8"/>
      <c r="M8" s="8">
        <f>_xlfn.MODE.SNGL(F4:F18)</f>
        <v>20000</v>
      </c>
      <c r="N8" s="8"/>
    </row>
    <row r="9" spans="1:14">
      <c r="A9" s="2">
        <v>106</v>
      </c>
      <c r="B9" s="4" t="s">
        <v>10</v>
      </c>
      <c r="C9" s="4" t="s">
        <v>23</v>
      </c>
      <c r="D9" s="4" t="s">
        <v>25</v>
      </c>
      <c r="E9" s="4">
        <v>12000</v>
      </c>
      <c r="F9" s="4">
        <v>13000</v>
      </c>
      <c r="G9" s="2">
        <f t="shared" si="0"/>
        <v>-1000</v>
      </c>
    </row>
    <row r="10" spans="1:14">
      <c r="A10" s="2">
        <v>107</v>
      </c>
      <c r="B10" s="4" t="s">
        <v>11</v>
      </c>
      <c r="C10" s="4" t="s">
        <v>21</v>
      </c>
      <c r="D10" s="4" t="s">
        <v>27</v>
      </c>
      <c r="E10" s="4">
        <v>18000</v>
      </c>
      <c r="F10" s="4">
        <v>4000</v>
      </c>
      <c r="G10" s="2">
        <f t="shared" si="0"/>
        <v>14000</v>
      </c>
    </row>
    <row r="11" spans="1:14">
      <c r="A11" s="2">
        <v>108</v>
      </c>
      <c r="B11" s="4" t="s">
        <v>12</v>
      </c>
      <c r="C11" s="4" t="s">
        <v>22</v>
      </c>
      <c r="D11" s="4" t="s">
        <v>26</v>
      </c>
      <c r="E11" s="4">
        <v>7000</v>
      </c>
      <c r="F11" s="4">
        <v>17000</v>
      </c>
      <c r="G11" s="2">
        <f t="shared" si="0"/>
        <v>-10000</v>
      </c>
      <c r="I11" s="9" t="s">
        <v>38</v>
      </c>
      <c r="J11" s="9"/>
      <c r="K11" s="9" t="s">
        <v>37</v>
      </c>
      <c r="L11" s="9"/>
    </row>
    <row r="12" spans="1:14">
      <c r="A12" s="2">
        <v>109</v>
      </c>
      <c r="B12" s="4" t="s">
        <v>13</v>
      </c>
      <c r="C12" s="4" t="s">
        <v>21</v>
      </c>
      <c r="D12" s="4" t="s">
        <v>24</v>
      </c>
      <c r="E12" s="4">
        <v>25000</v>
      </c>
      <c r="F12" s="4">
        <v>7500</v>
      </c>
      <c r="G12" s="2">
        <f t="shared" si="0"/>
        <v>17500</v>
      </c>
    </row>
    <row r="13" spans="1:14">
      <c r="A13" s="2">
        <v>110</v>
      </c>
      <c r="B13" s="4" t="s">
        <v>14</v>
      </c>
      <c r="C13" s="4" t="s">
        <v>28</v>
      </c>
      <c r="D13" s="4" t="s">
        <v>25</v>
      </c>
      <c r="E13" s="4">
        <v>11000</v>
      </c>
      <c r="F13" s="4">
        <v>20000</v>
      </c>
      <c r="G13" s="2">
        <f t="shared" si="0"/>
        <v>-9000</v>
      </c>
      <c r="I13" s="8">
        <f>MIN(F4:F18)</f>
        <v>2500</v>
      </c>
      <c r="J13" s="8"/>
      <c r="K13" s="8">
        <f>MIN(F4:F18)</f>
        <v>2500</v>
      </c>
      <c r="L13" s="8"/>
    </row>
    <row r="14" spans="1:14">
      <c r="A14" s="2">
        <v>111</v>
      </c>
      <c r="B14" s="4" t="s">
        <v>15</v>
      </c>
      <c r="C14" s="4" t="s">
        <v>23</v>
      </c>
      <c r="D14" s="4" t="s">
        <v>27</v>
      </c>
      <c r="E14" s="4">
        <v>30000</v>
      </c>
      <c r="F14" s="4">
        <v>30000</v>
      </c>
      <c r="G14" s="2">
        <f t="shared" si="0"/>
        <v>0</v>
      </c>
    </row>
    <row r="15" spans="1:14">
      <c r="A15" s="2">
        <v>112</v>
      </c>
      <c r="B15" s="4" t="s">
        <v>16</v>
      </c>
      <c r="C15" s="4" t="s">
        <v>21</v>
      </c>
      <c r="D15" s="4" t="s">
        <v>26</v>
      </c>
      <c r="E15" s="4">
        <v>45000</v>
      </c>
      <c r="F15" s="4">
        <v>2500</v>
      </c>
      <c r="G15" s="2">
        <f t="shared" si="0"/>
        <v>42500</v>
      </c>
    </row>
    <row r="16" spans="1:14">
      <c r="A16" s="2">
        <v>113</v>
      </c>
      <c r="B16" s="4" t="s">
        <v>17</v>
      </c>
      <c r="C16" s="4" t="s">
        <v>23</v>
      </c>
      <c r="D16" s="4" t="s">
        <v>24</v>
      </c>
      <c r="E16" s="4">
        <v>5000</v>
      </c>
      <c r="F16" s="4">
        <v>4000</v>
      </c>
      <c r="G16" s="2">
        <f t="shared" si="0"/>
        <v>1000</v>
      </c>
    </row>
    <row r="17" spans="1:7">
      <c r="A17" s="2">
        <v>114</v>
      </c>
      <c r="B17" s="4" t="s">
        <v>18</v>
      </c>
      <c r="C17" s="4" t="s">
        <v>22</v>
      </c>
      <c r="D17" s="2" t="s">
        <v>25</v>
      </c>
      <c r="E17" s="4">
        <v>6000</v>
      </c>
      <c r="F17" s="4">
        <v>10000</v>
      </c>
      <c r="G17" s="2">
        <f t="shared" si="0"/>
        <v>-4000</v>
      </c>
    </row>
    <row r="18" spans="1:7">
      <c r="A18" s="2">
        <v>115</v>
      </c>
      <c r="B18" s="4" t="s">
        <v>19</v>
      </c>
      <c r="C18" s="4" t="s">
        <v>21</v>
      </c>
      <c r="D18" s="2" t="s">
        <v>27</v>
      </c>
      <c r="E18" s="4">
        <v>15000</v>
      </c>
      <c r="F18" s="2">
        <v>5000</v>
      </c>
      <c r="G18" s="2">
        <f>(E18-F18)</f>
        <v>10000</v>
      </c>
    </row>
    <row r="19" spans="1:7">
      <c r="A19" s="2"/>
      <c r="B19" s="2"/>
      <c r="C19" s="2"/>
      <c r="D19" s="2"/>
      <c r="E19" s="2">
        <f>SUM(E4:E18)</f>
        <v>294000</v>
      </c>
      <c r="F19" s="2">
        <f>SUM(F4:F18)</f>
        <v>196000</v>
      </c>
      <c r="G19" s="2">
        <f>SUM(G4:G18)</f>
        <v>98000</v>
      </c>
    </row>
  </sheetData>
  <autoFilter ref="A3:G18" xr:uid="{E57AF4A5-2E91-4ADE-B250-F7A9D28A6540}"/>
  <mergeCells count="9">
    <mergeCell ref="I13:J13"/>
    <mergeCell ref="K11:L11"/>
    <mergeCell ref="K13:L13"/>
    <mergeCell ref="I6:J6"/>
    <mergeCell ref="K6:L6"/>
    <mergeCell ref="K8:L8"/>
    <mergeCell ref="M6:N6"/>
    <mergeCell ref="M8:N8"/>
    <mergeCell ref="I11:J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0CB3F-003A-46B0-B470-F6951A7C7527}">
  <dimension ref="A1:B51"/>
  <sheetViews>
    <sheetView tabSelected="1" topLeftCell="A64" workbookViewId="0">
      <selection activeCell="V62" sqref="V62"/>
    </sheetView>
  </sheetViews>
  <sheetFormatPr defaultRowHeight="15"/>
  <cols>
    <col min="1" max="1" width="13.140625" bestFit="1" customWidth="1"/>
    <col min="2" max="2" width="12.140625" bestFit="1" customWidth="1"/>
    <col min="3" max="5" width="5" bestFit="1" customWidth="1"/>
    <col min="6" max="14" width="6" bestFit="1" customWidth="1"/>
    <col min="15" max="15" width="11.28515625" bestFit="1" customWidth="1"/>
    <col min="16" max="16" width="10.5703125" bestFit="1" customWidth="1"/>
    <col min="17" max="17" width="11.28515625" bestFit="1" customWidth="1"/>
  </cols>
  <sheetData>
    <row r="1" spans="1:2">
      <c r="A1" s="6" t="s">
        <v>30</v>
      </c>
      <c r="B1" t="s">
        <v>32</v>
      </c>
    </row>
    <row r="2" spans="1:2">
      <c r="A2" s="1" t="s">
        <v>27</v>
      </c>
      <c r="B2" s="7">
        <v>75000</v>
      </c>
    </row>
    <row r="3" spans="1:2">
      <c r="A3" s="1" t="s">
        <v>24</v>
      </c>
      <c r="B3" s="7">
        <v>88000</v>
      </c>
    </row>
    <row r="4" spans="1:2">
      <c r="A4" s="1" t="s">
        <v>25</v>
      </c>
      <c r="B4" s="7">
        <v>59000</v>
      </c>
    </row>
    <row r="5" spans="1:2">
      <c r="A5" s="1" t="s">
        <v>26</v>
      </c>
      <c r="B5" s="7">
        <v>72000</v>
      </c>
    </row>
    <row r="6" spans="1:2">
      <c r="A6" s="1" t="s">
        <v>31</v>
      </c>
      <c r="B6">
        <v>294000</v>
      </c>
    </row>
    <row r="16" spans="1:2">
      <c r="A16" s="6" t="s">
        <v>30</v>
      </c>
      <c r="B16" t="s">
        <v>33</v>
      </c>
    </row>
    <row r="17" spans="1:2">
      <c r="A17" s="1" t="s">
        <v>9</v>
      </c>
      <c r="B17">
        <v>0</v>
      </c>
    </row>
    <row r="18" spans="1:2">
      <c r="A18" s="1" t="s">
        <v>10</v>
      </c>
      <c r="B18">
        <v>-1000</v>
      </c>
    </row>
    <row r="19" spans="1:2">
      <c r="A19" s="1" t="s">
        <v>14</v>
      </c>
      <c r="B19">
        <v>-9000</v>
      </c>
    </row>
    <row r="20" spans="1:2">
      <c r="A20" s="1" t="s">
        <v>19</v>
      </c>
      <c r="B20">
        <v>10000</v>
      </c>
    </row>
    <row r="21" spans="1:2">
      <c r="A21" s="1" t="s">
        <v>17</v>
      </c>
      <c r="B21">
        <v>1000</v>
      </c>
    </row>
    <row r="22" spans="1:2">
      <c r="A22" s="1" t="s">
        <v>6</v>
      </c>
      <c r="B22">
        <v>15000</v>
      </c>
    </row>
    <row r="23" spans="1:2">
      <c r="A23" s="1" t="s">
        <v>8</v>
      </c>
      <c r="B23">
        <v>15000</v>
      </c>
    </row>
    <row r="24" spans="1:2">
      <c r="A24" s="1" t="s">
        <v>12</v>
      </c>
      <c r="B24">
        <v>-10000</v>
      </c>
    </row>
    <row r="25" spans="1:2">
      <c r="A25" s="1" t="s">
        <v>20</v>
      </c>
      <c r="B25">
        <v>-3000</v>
      </c>
    </row>
    <row r="26" spans="1:2">
      <c r="A26" s="1" t="s">
        <v>11</v>
      </c>
      <c r="B26">
        <v>14000</v>
      </c>
    </row>
    <row r="27" spans="1:2">
      <c r="A27" s="1" t="s">
        <v>7</v>
      </c>
      <c r="B27">
        <v>10000</v>
      </c>
    </row>
    <row r="28" spans="1:2">
      <c r="A28" s="1" t="s">
        <v>15</v>
      </c>
      <c r="B28">
        <v>0</v>
      </c>
    </row>
    <row r="29" spans="1:2">
      <c r="A29" s="1" t="s">
        <v>13</v>
      </c>
      <c r="B29">
        <v>17500</v>
      </c>
    </row>
    <row r="30" spans="1:2">
      <c r="A30" s="1" t="s">
        <v>16</v>
      </c>
      <c r="B30">
        <v>42500</v>
      </c>
    </row>
    <row r="31" spans="1:2">
      <c r="A31" s="1" t="s">
        <v>18</v>
      </c>
      <c r="B31">
        <v>-4000</v>
      </c>
    </row>
    <row r="32" spans="1:2">
      <c r="A32" s="1" t="s">
        <v>31</v>
      </c>
      <c r="B32">
        <v>98000</v>
      </c>
    </row>
    <row r="35" spans="1:2">
      <c r="A35" s="6" t="s">
        <v>30</v>
      </c>
      <c r="B35" t="s">
        <v>32</v>
      </c>
    </row>
    <row r="36" spans="1:2">
      <c r="A36" s="1" t="s">
        <v>28</v>
      </c>
      <c r="B36">
        <v>11000</v>
      </c>
    </row>
    <row r="37" spans="1:2">
      <c r="A37" s="1" t="s">
        <v>21</v>
      </c>
      <c r="B37">
        <v>203000</v>
      </c>
    </row>
    <row r="38" spans="1:2">
      <c r="A38" s="1" t="s">
        <v>23</v>
      </c>
      <c r="B38">
        <v>55000</v>
      </c>
    </row>
    <row r="39" spans="1:2">
      <c r="A39" s="1" t="s">
        <v>22</v>
      </c>
      <c r="B39">
        <v>25000</v>
      </c>
    </row>
    <row r="40" spans="1:2">
      <c r="A40" s="1" t="s">
        <v>31</v>
      </c>
      <c r="B40">
        <v>294000</v>
      </c>
    </row>
    <row r="48" spans="1:2">
      <c r="A48" s="6" t="s">
        <v>30</v>
      </c>
      <c r="B48" t="s">
        <v>32</v>
      </c>
    </row>
    <row r="49" spans="1:2">
      <c r="A49" s="1" t="s">
        <v>27</v>
      </c>
      <c r="B49">
        <v>75000</v>
      </c>
    </row>
    <row r="50" spans="1:2">
      <c r="A50" s="1" t="s">
        <v>26</v>
      </c>
      <c r="B50">
        <v>72000</v>
      </c>
    </row>
    <row r="51" spans="1:2">
      <c r="A51" s="1" t="s">
        <v>31</v>
      </c>
      <c r="B51">
        <v>147000</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Nevin Michael</dc:creator>
  <cp:lastModifiedBy>Nevin Michael</cp:lastModifiedBy>
  <dcterms:created xsi:type="dcterms:W3CDTF">2025-10-27T14:26:08Z</dcterms:created>
  <dcterms:modified xsi:type="dcterms:W3CDTF">2025-12-10T07:57:42Z</dcterms:modified>
</cp:coreProperties>
</file>